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48718a72ee59ee/Documents/"/>
    </mc:Choice>
  </mc:AlternateContent>
  <xr:revisionPtr revIDLastSave="240" documentId="8_{81E876FC-76DB-401E-9DDC-8DF0F886CBF5}" xr6:coauthVersionLast="47" xr6:coauthVersionMax="47" xr10:uidLastSave="{9040F8F7-DAB4-4028-B2D3-12D0EB5F0CDF}"/>
  <bookViews>
    <workbookView xWindow="-108" yWindow="-108" windowWidth="23256" windowHeight="12456" xr2:uid="{AEC56A32-78EB-4B11-81BB-72B192E0F9F2}"/>
  </bookViews>
  <sheets>
    <sheet name="ecommerce_project" sheetId="2" r:id="rId1"/>
    <sheet name="Measures_table" sheetId="9" r:id="rId2"/>
    <sheet name="Final_Results" sheetId="10" r:id="rId3"/>
  </sheets>
  <definedNames>
    <definedName name="ExternalData_1" localSheetId="0" hidden="1">ecommerce_project!$A$1:$G$24</definedName>
    <definedName name="ExternalData_2" localSheetId="1" hidden="1">Measures_table!$A$1:$E$4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K22" i="2"/>
  <c r="K23" i="2"/>
  <c r="K24" i="2"/>
  <c r="H22" i="2"/>
  <c r="H23" i="2"/>
  <c r="H24" i="2"/>
  <c r="I22" i="2"/>
  <c r="I23" i="2"/>
  <c r="I24" i="2"/>
  <c r="J22" i="2"/>
  <c r="J23" i="2"/>
  <c r="J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FDD64-4448-4A22-9493-27817FA05F22}" keepAlive="1" name="Query - ecommerce_project" description="Connection to the 'ecommerce_project' query in the workbook." type="5" refreshedVersion="8" background="1" saveData="1">
    <dbPr connection="Provider=Microsoft.Mashup.OleDb.1;Data Source=$Workbook$;Location=ecommerce_project;Extended Properties=&quot;&quot;" command="SELECT * FROM [ecommerce_project]"/>
  </connection>
  <connection id="2" xr16:uid="{AD4AF44B-1EFB-4226-96C8-406CDA6D301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293C1460-DC8D-401B-9934-D0C0529AFC45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4" xr16:uid="{BEAA6C12-F1CE-4B51-A8D6-B26D9271FA89}" keepAlive="1" name="Query - Table3_13" description="Connection to the 'Table3_13' query in the workbook." type="5" refreshedVersion="8" background="1" saveData="1">
    <dbPr connection="Provider=Microsoft.Mashup.OleDb.1;Data Source=$Workbook$;Location=Table3_13;Extended Properties=&quot;&quot;" command="SELECT * FROM [Table3_13]"/>
  </connection>
</connections>
</file>

<file path=xl/sharedStrings.xml><?xml version="1.0" encoding="utf-8"?>
<sst xmlns="http://schemas.openxmlformats.org/spreadsheetml/2006/main" count="89" uniqueCount="46">
  <si>
    <t>product_id</t>
  </si>
  <si>
    <t>product_name</t>
  </si>
  <si>
    <t>category</t>
  </si>
  <si>
    <t>price</t>
  </si>
  <si>
    <t>rating</t>
  </si>
  <si>
    <t>risk_score</t>
  </si>
  <si>
    <t>sales</t>
  </si>
  <si>
    <t>iPhone 15 Pro Max</t>
  </si>
  <si>
    <t>Electronics</t>
  </si>
  <si>
    <t>Samsung Galaxy S25</t>
  </si>
  <si>
    <t>MacBook Pro 16"</t>
  </si>
  <si>
    <t>Sony WH-1000XM5</t>
  </si>
  <si>
    <t>Dyson V15 Vacuum</t>
  </si>
  <si>
    <t>Rolex Submariner</t>
  </si>
  <si>
    <t>Fashion</t>
  </si>
  <si>
    <t>Gucci Leather Handbag</t>
  </si>
  <si>
    <t>Louis Vuitton Wallet</t>
  </si>
  <si>
    <t>Nike Air Max 90</t>
  </si>
  <si>
    <t>Adidas Ultraboost</t>
  </si>
  <si>
    <t>Expensive Coffee Table Book</t>
  </si>
  <si>
    <t>Books</t>
  </si>
  <si>
    <t>Overpriced USB Cable</t>
  </si>
  <si>
    <t>Designer Phone Charger</t>
  </si>
  <si>
    <t>Premium Laptop Stand</t>
  </si>
  <si>
    <t>Luxury Mouse Pad</t>
  </si>
  <si>
    <t>Budget Smartphone</t>
  </si>
  <si>
    <t>Standard Laptop</t>
  </si>
  <si>
    <t>Basic Headphones</t>
  </si>
  <si>
    <t>Affordable Vacuum</t>
  </si>
  <si>
    <t>Casual Watch</t>
  </si>
  <si>
    <t/>
  </si>
  <si>
    <t>Category</t>
  </si>
  <si>
    <t>Avg_Price</t>
  </si>
  <si>
    <t>Avg_Rating</t>
  </si>
  <si>
    <t>Median_Sales</t>
  </si>
  <si>
    <t>Risk_Top20</t>
  </si>
  <si>
    <t>Median_sales</t>
  </si>
  <si>
    <t>Is_Exception</t>
  </si>
  <si>
    <t>Business_Action</t>
  </si>
  <si>
    <t>Priority</t>
  </si>
  <si>
    <t>REMOVE</t>
  </si>
  <si>
    <t>QUALITY AUDIT</t>
  </si>
  <si>
    <t>RE-PRICE (-20%)</t>
  </si>
  <si>
    <t>HIGH</t>
  </si>
  <si>
    <t>MEDIUM</t>
  </si>
  <si>
    <t>PRICING VS SATISFACTION EXCEPTION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</si>
</sst>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0" fillId="3" borderId="1" xfId="0" applyFill="1" applyBorder="1"/>
    <xf numFmtId="0" fontId="0" fillId="0" borderId="1" xfId="0" applyBorder="1"/>
    <xf numFmtId="0" fontId="0" fillId="3" borderId="3" xfId="0" applyFill="1" applyBorder="1"/>
    <xf numFmtId="0" fontId="1" fillId="3" borderId="3" xfId="0" applyFont="1" applyFill="1" applyBorder="1"/>
    <xf numFmtId="164" fontId="0" fillId="0" borderId="0" xfId="1" applyNumberFormat="1" applyFont="1"/>
    <xf numFmtId="164" fontId="0" fillId="3" borderId="1" xfId="0" applyNumberFormat="1" applyFill="1" applyBorder="1"/>
    <xf numFmtId="164" fontId="0" fillId="0" borderId="1" xfId="0" applyNumberFormat="1" applyBorder="1"/>
    <xf numFmtId="164" fontId="0" fillId="3" borderId="3" xfId="0" applyNumberFormat="1" applyFill="1" applyBorder="1"/>
    <xf numFmtId="164" fontId="0" fillId="0" borderId="0" xfId="0" applyNumberFormat="1"/>
    <xf numFmtId="164" fontId="3" fillId="3" borderId="1" xfId="1" applyNumberFormat="1" applyFont="1" applyFill="1" applyBorder="1"/>
    <xf numFmtId="164" fontId="3" fillId="0" borderId="1" xfId="1" applyNumberFormat="1" applyFont="1" applyBorder="1"/>
    <xf numFmtId="164" fontId="3" fillId="3" borderId="3" xfId="1" applyNumberFormat="1" applyFont="1" applyFill="1" applyBorder="1"/>
    <xf numFmtId="0" fontId="4" fillId="2" borderId="2" xfId="0" applyFont="1" applyFill="1" applyBorder="1"/>
    <xf numFmtId="164" fontId="4" fillId="2" borderId="2" xfId="1" applyNumberFormat="1" applyFont="1" applyFill="1" applyBorder="1"/>
    <xf numFmtId="164" fontId="4" fillId="2" borderId="2" xfId="0" applyNumberFormat="1" applyFont="1" applyFill="1" applyBorder="1"/>
    <xf numFmtId="0" fontId="5" fillId="0" borderId="0" xfId="0" applyFont="1"/>
    <xf numFmtId="0" fontId="0" fillId="0" borderId="0" xfId="0"/>
  </cellXfs>
  <cellStyles count="2">
    <cellStyle name="Normal" xfId="0" builtinId="0"/>
    <cellStyle name="Percent" xfId="1" builtinId="5"/>
  </cellStyles>
  <dxfs count="26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164" formatCode="_-[$$-409]* #,##0.00_ ;_-[$$-409]* \-#,##0.00\ ;_-[$$-409]* &quot;-&quot;??_ ;_-@_ "/>
    </dxf>
    <dxf>
      <font>
        <b val="0"/>
      </font>
    </dxf>
    <dxf>
      <font>
        <b val="0"/>
      </font>
    </dxf>
    <dxf>
      <font>
        <b val="0"/>
      </font>
      <numFmt numFmtId="164" formatCode="_-[$$-409]* #,##0.00_ ;_-[$$-409]* \-#,##0.00\ ;_-[$$-409]* &quot;-&quot;??_ ;_-@_ "/>
    </dxf>
    <dxf>
      <font>
        <b val="0"/>
      </font>
    </dxf>
    <dxf>
      <font>
        <b val="0"/>
      </font>
    </dxf>
    <dxf>
      <font>
        <b val="0"/>
      </font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2B3397-BD5E-41F6-89DC-CCD5C41A73F7}" autoFormatId="16" applyNumberFormats="0" applyBorderFormats="0" applyFontFormats="0" applyPatternFormats="0" applyAlignmentFormats="0" applyWidthHeightFormats="0">
  <queryTableRefresh nextId="13" unboundColumnsRight="5">
    <queryTableFields count="12">
      <queryTableField id="1" name="product_id" tableColumnId="1"/>
      <queryTableField id="2" name="product_name" tableColumnId="2"/>
      <queryTableField id="3" name="category" tableColumnId="3"/>
      <queryTableField id="4" name="price" tableColumnId="4"/>
      <queryTableField id="5" name="rating" tableColumnId="5"/>
      <queryTableField id="6" name="risk_score" tableColumnId="6"/>
      <queryTableField id="7" name="sales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81AF5AC-B179-425B-AFBD-8A6ECDA7F5B1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Avg_Price" tableColumnId="2"/>
      <queryTableField id="3" name="Avg_Rating" tableColumnId="3"/>
      <queryTableField id="4" name="Median_Sales" tableColumnId="4"/>
      <queryTableField id="5" name="Risk_Top2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34727-53FC-4759-9530-E34D7F4FDAA6}" name="ecommerce_project" displayName="ecommerce_project" ref="A1:L24" tableType="queryTable" totalsRowShown="0">
  <autoFilter ref="A1:L24" xr:uid="{38734727-53FC-4759-9530-E34D7F4FDAA6}">
    <filterColumn colId="7">
      <filters>
        <filter val="120"/>
        <filter val="2792"/>
        <filter val="712"/>
      </filters>
    </filterColumn>
  </autoFilter>
  <tableColumns count="12">
    <tableColumn id="1" xr3:uid="{73849575-2CCF-4DF4-9F66-8777A51F3366}" uniqueName="1" name="product_id" queryTableFieldId="1"/>
    <tableColumn id="2" xr3:uid="{397273EB-0CE6-472F-8F69-E856ACE9C8AC}" uniqueName="2" name="product_name" queryTableFieldId="2" dataDxfId="25"/>
    <tableColumn id="3" xr3:uid="{EFE0E7C4-FD5C-4959-913A-6DA247D57686}" uniqueName="3" name="category" queryTableFieldId="3" dataDxfId="24"/>
    <tableColumn id="4" xr3:uid="{1068FEDE-DBEA-46D0-ABAB-17FA0C3CF821}" uniqueName="4" name="price" queryTableFieldId="4"/>
    <tableColumn id="5" xr3:uid="{31858B72-26D4-4898-AC31-7D54BCEED93D}" uniqueName="5" name="rating" queryTableFieldId="5"/>
    <tableColumn id="6" xr3:uid="{67312C5F-B3A5-4C62-87FB-4A6151E2B3C8}" uniqueName="6" name="risk_score" queryTableFieldId="6"/>
    <tableColumn id="7" xr3:uid="{9C0C97A7-7FB0-4441-B163-171D409CE927}" uniqueName="7" name="sales" queryTableFieldId="7"/>
    <tableColumn id="8" xr3:uid="{8A58F626-FF52-4C27-AA80-F15164FEECE3}" uniqueName="8" name="Avg_Price" queryTableFieldId="8" dataDxfId="23">
      <calculatedColumnFormula>VLOOKUP(C2,#REF!,2,FALSE)</calculatedColumnFormula>
    </tableColumn>
    <tableColumn id="9" xr3:uid="{664B5621-E6AE-4020-87D8-E21F38E28C03}" uniqueName="9" name="Avg_Rating" queryTableFieldId="9" dataDxfId="22">
      <calculatedColumnFormula>VLOOKUP(C2,#REF!,3,FALSE)</calculatedColumnFormula>
    </tableColumn>
    <tableColumn id="10" xr3:uid="{4163AAB2-83BA-40FC-9D32-629FCE1395AD}" uniqueName="10" name="Median_sales" queryTableFieldId="10" dataDxfId="21">
      <calculatedColumnFormula>VLOOKUP(C2,#REF!,4,FALSE)</calculatedColumnFormula>
    </tableColumn>
    <tableColumn id="11" xr3:uid="{D44BF0BF-651C-4406-B8BB-EEFD48D45256}" uniqueName="11" name="Risk_Top20" queryTableFieldId="11" dataDxfId="20">
      <calculatedColumnFormula>VLOOKUP(C2,#REF!,5,FALSE)</calculatedColumnFormula>
    </tableColumn>
    <tableColumn id="12" xr3:uid="{23F6E459-D380-49F6-BB3B-8F32C560B4D1}" uniqueName="12" name="Is_Exception" queryTableFieldId="12" dataDxfId="19">
      <calculatedColumnFormula>IF(AND(D2&gt;H2, E2&lt;I2, F2&gt;=K2, G2&lt;J2), TRUE, 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74E31D-83F3-48E7-9E1B-4835B1888E2B}" name="Table3_14" displayName="Table3_14" ref="A1:E4" tableType="queryTable" totalsRowShown="0">
  <autoFilter ref="A1:E4" xr:uid="{2774E31D-83F3-48E7-9E1B-4835B1888E2B}"/>
  <tableColumns count="5">
    <tableColumn id="1" xr3:uid="{8CF6021D-A680-4A2F-B3DB-951A0CBBBACC}" uniqueName="1" name="Category" queryTableFieldId="1" dataDxfId="18"/>
    <tableColumn id="2" xr3:uid="{ED2E422D-9298-4825-98D9-4F400487B050}" uniqueName="2" name="Avg_Price" queryTableFieldId="2"/>
    <tableColumn id="3" xr3:uid="{04EDDCDE-EF87-4D94-8B3F-DA17C2C1D509}" uniqueName="3" name="Avg_Rating" queryTableFieldId="3"/>
    <tableColumn id="4" xr3:uid="{109F15E3-76CA-4EAE-98B9-4DC3870458EB}" uniqueName="4" name="Median_Sales" queryTableFieldId="4"/>
    <tableColumn id="5" xr3:uid="{13967D5C-5DAF-4D76-9B78-8EB2640E4BB2}" uniqueName="5" name="Risk_Top20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4C53FA-6F6A-4442-B4EC-C38DB46B6682}" name="Table4" displayName="Table4" ref="A4:J7" totalsRowShown="0" headerRowDxfId="17" dataDxfId="15" headerRowBorderDxfId="16" tableBorderDxfId="14" totalsRowBorderDxfId="13">
  <autoFilter ref="A4:J7" xr:uid="{824C53FA-6F6A-4442-B4EC-C38DB46B6682}"/>
  <tableColumns count="10">
    <tableColumn id="1" xr3:uid="{990527E3-B129-4ED8-A7C4-E8042D78564B}" name="product_id" dataDxfId="12"/>
    <tableColumn id="2" xr3:uid="{52CE0B4C-2920-4D41-96A0-6488E2041D48}" name="product_name" dataDxfId="11"/>
    <tableColumn id="3" xr3:uid="{91E423F9-819E-4B78-9FC5-A28848358CAC}" name="category" dataDxfId="10"/>
    <tableColumn id="4" xr3:uid="{13687910-184A-4154-92F2-0579FA423C87}" name="price" dataDxfId="9" dataCellStyle="Percent"/>
    <tableColumn id="5" xr3:uid="{0171F508-473D-462A-BB4A-37FE6230ED5F}" name="rating" dataDxfId="8"/>
    <tableColumn id="6" xr3:uid="{915973F8-2759-4A7F-9FE6-C01AAF8DEE36}" name="risk_score" dataDxfId="7"/>
    <tableColumn id="7" xr3:uid="{C36B0615-886C-40E2-A88E-66063AAE1D5F}" name="sales" dataDxfId="6"/>
    <tableColumn id="8" xr3:uid="{C6894479-4745-47E9-A506-17296296E701}" name="Business_Action" dataDxfId="5"/>
    <tableColumn id="9" xr3:uid="{B68FA823-5223-4DB9-93C8-9682A853A653}" name="Priority" dataDxfId="4"/>
    <tableColumn id="10" xr3:uid="{6785796E-CEE2-4C85-90F3-6392AB8E9EF1}" name="Is_Exceptio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BFC0-021F-491C-BAB3-B9B1AB71828C}">
  <dimension ref="A1:L24"/>
  <sheetViews>
    <sheetView tabSelected="1" workbookViewId="0">
      <selection activeCell="N19" sqref="N19"/>
    </sheetView>
  </sheetViews>
  <sheetFormatPr defaultRowHeight="14.4" x14ac:dyDescent="0.3"/>
  <cols>
    <col min="1" max="1" width="12.44140625" bestFit="1" customWidth="1"/>
    <col min="2" max="2" width="24.88671875" bestFit="1" customWidth="1"/>
    <col min="3" max="3" width="10.5546875" bestFit="1" customWidth="1"/>
    <col min="4" max="4" width="7.33203125" bestFit="1" customWidth="1"/>
    <col min="5" max="5" width="8.109375" bestFit="1" customWidth="1"/>
    <col min="6" max="6" width="11.5546875" bestFit="1" customWidth="1"/>
    <col min="7" max="7" width="7.21875" bestFit="1" customWidth="1"/>
    <col min="8" max="8" width="11.5546875" bestFit="1" customWidth="1"/>
    <col min="9" max="9" width="12.77734375" bestFit="1" customWidth="1"/>
    <col min="10" max="10" width="14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  <c r="J1" t="s">
        <v>36</v>
      </c>
      <c r="K1" t="s">
        <v>35</v>
      </c>
      <c r="L1" t="s">
        <v>37</v>
      </c>
    </row>
    <row r="2" spans="1:12" x14ac:dyDescent="0.3">
      <c r="A2">
        <v>1</v>
      </c>
      <c r="B2" t="s">
        <v>7</v>
      </c>
      <c r="C2" t="s">
        <v>8</v>
      </c>
      <c r="D2">
        <v>1499</v>
      </c>
      <c r="E2">
        <v>2.1</v>
      </c>
      <c r="F2">
        <v>95</v>
      </c>
      <c r="G2">
        <v>120</v>
      </c>
      <c r="H2" s="2">
        <f>VLOOKUP(C2,Measures_table!A:E,2,FALSE)</f>
        <v>712</v>
      </c>
      <c r="I2" s="1">
        <f>VLOOKUP(C2,Measures_table!A:E,3,FALSE)</f>
        <v>3.16</v>
      </c>
      <c r="J2" s="1">
        <f>VLOOKUP(C2,Measures_table!A:E,4,FALSE)</f>
        <v>420</v>
      </c>
      <c r="K2" s="1">
        <f>VLOOKUP(C2,Measures_table!A:E,5,FALSE)</f>
        <v>93.8</v>
      </c>
      <c r="L2" s="1" t="b">
        <f t="shared" ref="L2:L24" si="0">IF(AND(D2&gt;H2, E2&lt;I2, F2&gt;=K2, G2&lt;J2), TRUE, FALSE)</f>
        <v>1</v>
      </c>
    </row>
    <row r="3" spans="1:12" x14ac:dyDescent="0.3">
      <c r="A3">
        <v>2</v>
      </c>
      <c r="B3" t="s">
        <v>9</v>
      </c>
      <c r="C3" t="s">
        <v>8</v>
      </c>
      <c r="D3">
        <v>1299</v>
      </c>
      <c r="E3">
        <v>4.2</v>
      </c>
      <c r="F3">
        <v>82</v>
      </c>
      <c r="G3">
        <v>450</v>
      </c>
      <c r="H3" s="2">
        <f>VLOOKUP(C3,Measures_table!A:E,2,FALSE)</f>
        <v>712</v>
      </c>
      <c r="I3" s="1">
        <f>VLOOKUP(C3,Measures_table!A:E,3,FALSE)</f>
        <v>3.16</v>
      </c>
      <c r="J3" s="1">
        <f>VLOOKUP(C3,Measures_table!A:E,4,FALSE)</f>
        <v>420</v>
      </c>
      <c r="K3" s="1">
        <f>VLOOKUP(C3,Measures_table!A:E,5,FALSE)</f>
        <v>93.8</v>
      </c>
      <c r="L3" s="1" t="b">
        <f t="shared" si="0"/>
        <v>0</v>
      </c>
    </row>
    <row r="4" spans="1:12" x14ac:dyDescent="0.3">
      <c r="A4">
        <v>3</v>
      </c>
      <c r="B4" t="s">
        <v>10</v>
      </c>
      <c r="C4" t="s">
        <v>8</v>
      </c>
      <c r="D4">
        <v>2999</v>
      </c>
      <c r="E4">
        <v>1.8</v>
      </c>
      <c r="F4">
        <v>98</v>
      </c>
      <c r="G4">
        <v>85</v>
      </c>
      <c r="H4" s="2">
        <f>VLOOKUP(C4,Measures_table!A:E,2,FALSE)</f>
        <v>712</v>
      </c>
      <c r="I4" s="1">
        <f>VLOOKUP(C4,Measures_table!A:E,3,FALSE)</f>
        <v>3.16</v>
      </c>
      <c r="J4" s="1">
        <f>VLOOKUP(C4,Measures_table!A:E,4,FALSE)</f>
        <v>420</v>
      </c>
      <c r="K4" s="1">
        <f>VLOOKUP(C4,Measures_table!A:E,5,FALSE)</f>
        <v>93.8</v>
      </c>
      <c r="L4" s="1" t="b">
        <f t="shared" si="0"/>
        <v>1</v>
      </c>
    </row>
    <row r="5" spans="1:12" x14ac:dyDescent="0.3">
      <c r="A5">
        <v>4</v>
      </c>
      <c r="B5" t="s">
        <v>11</v>
      </c>
      <c r="C5" t="s">
        <v>8</v>
      </c>
      <c r="D5">
        <v>399</v>
      </c>
      <c r="E5">
        <v>4.5</v>
      </c>
      <c r="F5">
        <v>25</v>
      </c>
      <c r="G5">
        <v>850</v>
      </c>
      <c r="H5" s="2">
        <f>VLOOKUP(C5,Measures_table!A:E,2,FALSE)</f>
        <v>712</v>
      </c>
      <c r="I5" s="1">
        <f>VLOOKUP(C5,Measures_table!A:E,3,FALSE)</f>
        <v>3.16</v>
      </c>
      <c r="J5" s="1">
        <f>VLOOKUP(C5,Measures_table!A:E,4,FALSE)</f>
        <v>420</v>
      </c>
      <c r="K5" s="1">
        <f>VLOOKUP(C5,Measures_table!A:E,5,FALSE)</f>
        <v>93.8</v>
      </c>
      <c r="L5" s="1" t="b">
        <f t="shared" si="0"/>
        <v>0</v>
      </c>
    </row>
    <row r="6" spans="1:12" x14ac:dyDescent="0.3">
      <c r="A6">
        <v>5</v>
      </c>
      <c r="B6" t="s">
        <v>12</v>
      </c>
      <c r="C6" t="s">
        <v>8</v>
      </c>
      <c r="D6">
        <v>799</v>
      </c>
      <c r="E6">
        <v>3.9</v>
      </c>
      <c r="F6">
        <v>45</v>
      </c>
      <c r="G6">
        <v>420</v>
      </c>
      <c r="H6" s="2">
        <f>VLOOKUP(C6,Measures_table!A:E,2,FALSE)</f>
        <v>712</v>
      </c>
      <c r="I6" s="1">
        <f>VLOOKUP(C6,Measures_table!A:E,3,FALSE)</f>
        <v>3.16</v>
      </c>
      <c r="J6" s="1">
        <f>VLOOKUP(C6,Measures_table!A:E,4,FALSE)</f>
        <v>420</v>
      </c>
      <c r="K6" s="1">
        <f>VLOOKUP(C6,Measures_table!A:E,5,FALSE)</f>
        <v>93.8</v>
      </c>
      <c r="L6" s="1" t="b">
        <f t="shared" si="0"/>
        <v>0</v>
      </c>
    </row>
    <row r="7" spans="1:12" x14ac:dyDescent="0.3">
      <c r="A7">
        <v>6</v>
      </c>
      <c r="B7" t="s">
        <v>13</v>
      </c>
      <c r="C7" t="s">
        <v>14</v>
      </c>
      <c r="D7">
        <v>12500</v>
      </c>
      <c r="E7">
        <v>1.7</v>
      </c>
      <c r="F7">
        <v>97</v>
      </c>
      <c r="G7">
        <v>35</v>
      </c>
      <c r="H7" s="2">
        <f>VLOOKUP(C7,Measures_table!A:E,2,FALSE)</f>
        <v>2792</v>
      </c>
      <c r="I7" s="1">
        <f>VLOOKUP(C7,Measures_table!A:E,3,FALSE)</f>
        <v>3.55</v>
      </c>
      <c r="J7" s="1">
        <f>VLOOKUP(C7,Measures_table!A:E,4,FALSE)</f>
        <v>610</v>
      </c>
      <c r="K7" s="1">
        <f>VLOOKUP(C7,Measures_table!A:E,5,FALSE)</f>
        <v>88</v>
      </c>
      <c r="L7" s="1" t="b">
        <f t="shared" si="0"/>
        <v>1</v>
      </c>
    </row>
    <row r="8" spans="1:12" x14ac:dyDescent="0.3">
      <c r="A8">
        <v>7</v>
      </c>
      <c r="B8" t="s">
        <v>15</v>
      </c>
      <c r="C8" t="s">
        <v>14</v>
      </c>
      <c r="D8">
        <v>2500</v>
      </c>
      <c r="E8">
        <v>2.2999999999999998</v>
      </c>
      <c r="F8">
        <v>88</v>
      </c>
      <c r="G8">
        <v>95</v>
      </c>
      <c r="H8" s="2">
        <f>VLOOKUP(C8,Measures_table!A:E,2,FALSE)</f>
        <v>2792</v>
      </c>
      <c r="I8" s="1">
        <f>VLOOKUP(C8,Measures_table!A:E,3,FALSE)</f>
        <v>3.55</v>
      </c>
      <c r="J8" s="1">
        <f>VLOOKUP(C8,Measures_table!A:E,4,FALSE)</f>
        <v>610</v>
      </c>
      <c r="K8" s="1">
        <f>VLOOKUP(C8,Measures_table!A:E,5,FALSE)</f>
        <v>88</v>
      </c>
      <c r="L8" s="1" t="b">
        <f t="shared" si="0"/>
        <v>0</v>
      </c>
    </row>
    <row r="9" spans="1:12" x14ac:dyDescent="0.3">
      <c r="A9">
        <v>8</v>
      </c>
      <c r="B9" t="s">
        <v>16</v>
      </c>
      <c r="C9" t="s">
        <v>14</v>
      </c>
      <c r="D9">
        <v>1200</v>
      </c>
      <c r="E9">
        <v>4.0999999999999996</v>
      </c>
      <c r="F9">
        <v>35</v>
      </c>
      <c r="G9">
        <v>320</v>
      </c>
      <c r="H9" s="2">
        <f>VLOOKUP(C9,Measures_table!A:E,2,FALSE)</f>
        <v>2792</v>
      </c>
      <c r="I9" s="1">
        <f>VLOOKUP(C9,Measures_table!A:E,3,FALSE)</f>
        <v>3.55</v>
      </c>
      <c r="J9" s="1">
        <f>VLOOKUP(C9,Measures_table!A:E,4,FALSE)</f>
        <v>610</v>
      </c>
      <c r="K9" s="1">
        <f>VLOOKUP(C9,Measures_table!A:E,5,FALSE)</f>
        <v>88</v>
      </c>
      <c r="L9" s="1" t="b">
        <f t="shared" si="0"/>
        <v>0</v>
      </c>
    </row>
    <row r="10" spans="1:12" x14ac:dyDescent="0.3">
      <c r="A10">
        <v>9</v>
      </c>
      <c r="B10" t="s">
        <v>17</v>
      </c>
      <c r="C10" t="s">
        <v>14</v>
      </c>
      <c r="D10">
        <v>150</v>
      </c>
      <c r="E10">
        <v>4.4000000000000004</v>
      </c>
      <c r="F10">
        <v>22</v>
      </c>
      <c r="G10">
        <v>1200</v>
      </c>
      <c r="H10" s="2">
        <f>VLOOKUP(C10,Measures_table!A:E,2,FALSE)</f>
        <v>2792</v>
      </c>
      <c r="I10" s="1">
        <f>VLOOKUP(C10,Measures_table!A:E,3,FALSE)</f>
        <v>3.55</v>
      </c>
      <c r="J10" s="1">
        <f>VLOOKUP(C10,Measures_table!A:E,4,FALSE)</f>
        <v>610</v>
      </c>
      <c r="K10" s="1">
        <f>VLOOKUP(C10,Measures_table!A:E,5,FALSE)</f>
        <v>88</v>
      </c>
      <c r="L10" s="1" t="b">
        <f t="shared" si="0"/>
        <v>0</v>
      </c>
    </row>
    <row r="11" spans="1:12" x14ac:dyDescent="0.3">
      <c r="A11">
        <v>10</v>
      </c>
      <c r="B11" t="s">
        <v>18</v>
      </c>
      <c r="C11" t="s">
        <v>14</v>
      </c>
      <c r="D11">
        <v>200</v>
      </c>
      <c r="E11">
        <v>4.3</v>
      </c>
      <c r="F11">
        <v>28</v>
      </c>
      <c r="G11">
        <v>950</v>
      </c>
      <c r="H11" s="2">
        <f>VLOOKUP(C11,Measures_table!A:E,2,FALSE)</f>
        <v>2792</v>
      </c>
      <c r="I11" s="1">
        <f>VLOOKUP(C11,Measures_table!A:E,3,FALSE)</f>
        <v>3.55</v>
      </c>
      <c r="J11" s="1">
        <f>VLOOKUP(C11,Measures_table!A:E,4,FALSE)</f>
        <v>610</v>
      </c>
      <c r="K11" s="1">
        <f>VLOOKUP(C11,Measures_table!A:E,5,FALSE)</f>
        <v>88</v>
      </c>
      <c r="L11" s="1" t="b">
        <f t="shared" si="0"/>
        <v>0</v>
      </c>
    </row>
    <row r="12" spans="1:12" x14ac:dyDescent="0.3">
      <c r="A12">
        <v>11</v>
      </c>
      <c r="B12" t="s">
        <v>19</v>
      </c>
      <c r="C12" t="s">
        <v>20</v>
      </c>
      <c r="D12">
        <v>120</v>
      </c>
      <c r="E12">
        <v>2.4</v>
      </c>
      <c r="F12">
        <v>82</v>
      </c>
      <c r="G12">
        <v>110</v>
      </c>
      <c r="H12" s="2">
        <f>VLOOKUP(C12,Measures_table!A:E,2,FALSE)</f>
        <v>120</v>
      </c>
      <c r="I12" s="1">
        <f>VLOOKUP(C12,Measures_table!A:E,3,FALSE)</f>
        <v>2.4</v>
      </c>
      <c r="J12" s="1">
        <f>VLOOKUP(C12,Measures_table!A:E,4,FALSE)</f>
        <v>110</v>
      </c>
      <c r="K12" s="1">
        <f>VLOOKUP(C12,Measures_table!A:E,5,FALSE)</f>
        <v>82</v>
      </c>
      <c r="L12" s="1" t="b">
        <f t="shared" si="0"/>
        <v>0</v>
      </c>
    </row>
    <row r="13" spans="1:12" x14ac:dyDescent="0.3">
      <c r="A13">
        <v>12</v>
      </c>
      <c r="B13" t="s">
        <v>21</v>
      </c>
      <c r="C13" t="s">
        <v>8</v>
      </c>
      <c r="D13">
        <v>50</v>
      </c>
      <c r="E13">
        <v>1.9</v>
      </c>
      <c r="F13">
        <v>92</v>
      </c>
      <c r="G13">
        <v>60</v>
      </c>
      <c r="H13" s="2">
        <f>VLOOKUP(C13,Measures_table!A:E,2,FALSE)</f>
        <v>712</v>
      </c>
      <c r="I13" s="1">
        <f>VLOOKUP(C13,Measures_table!A:E,3,FALSE)</f>
        <v>3.16</v>
      </c>
      <c r="J13" s="1">
        <f>VLOOKUP(C13,Measures_table!A:E,4,FALSE)</f>
        <v>420</v>
      </c>
      <c r="K13" s="1">
        <f>VLOOKUP(C13,Measures_table!A:E,5,FALSE)</f>
        <v>93.8</v>
      </c>
      <c r="L13" s="1" t="b">
        <f t="shared" si="0"/>
        <v>0</v>
      </c>
    </row>
    <row r="14" spans="1:12" x14ac:dyDescent="0.3">
      <c r="A14">
        <v>13</v>
      </c>
      <c r="B14" t="s">
        <v>22</v>
      </c>
      <c r="C14" t="s">
        <v>8</v>
      </c>
      <c r="D14">
        <v>80</v>
      </c>
      <c r="E14">
        <v>2</v>
      </c>
      <c r="F14">
        <v>89</v>
      </c>
      <c r="G14">
        <v>75</v>
      </c>
      <c r="H14" s="2">
        <f>VLOOKUP(C14,Measures_table!A:E,2,FALSE)</f>
        <v>712</v>
      </c>
      <c r="I14" s="1">
        <f>VLOOKUP(C14,Measures_table!A:E,3,FALSE)</f>
        <v>3.16</v>
      </c>
      <c r="J14" s="1">
        <f>VLOOKUP(C14,Measures_table!A:E,4,FALSE)</f>
        <v>420</v>
      </c>
      <c r="K14" s="1">
        <f>VLOOKUP(C14,Measures_table!A:E,5,FALSE)</f>
        <v>93.8</v>
      </c>
      <c r="L14" s="1" t="b">
        <f t="shared" si="0"/>
        <v>0</v>
      </c>
    </row>
    <row r="15" spans="1:12" x14ac:dyDescent="0.3">
      <c r="A15">
        <v>14</v>
      </c>
      <c r="B15" t="s">
        <v>23</v>
      </c>
      <c r="C15" t="s">
        <v>8</v>
      </c>
      <c r="D15">
        <v>90</v>
      </c>
      <c r="E15">
        <v>1.6</v>
      </c>
      <c r="F15">
        <v>96</v>
      </c>
      <c r="G15">
        <v>40</v>
      </c>
      <c r="H15" s="2">
        <f>VLOOKUP(C15,Measures_table!A:E,2,FALSE)</f>
        <v>712</v>
      </c>
      <c r="I15" s="1">
        <f>VLOOKUP(C15,Measures_table!A:E,3,FALSE)</f>
        <v>3.16</v>
      </c>
      <c r="J15" s="1">
        <f>VLOOKUP(C15,Measures_table!A:E,4,FALSE)</f>
        <v>420</v>
      </c>
      <c r="K15" s="1">
        <f>VLOOKUP(C15,Measures_table!A:E,5,FALSE)</f>
        <v>93.8</v>
      </c>
      <c r="L15" s="1" t="b">
        <f t="shared" si="0"/>
        <v>0</v>
      </c>
    </row>
    <row r="16" spans="1:12" x14ac:dyDescent="0.3">
      <c r="A16">
        <v>15</v>
      </c>
      <c r="B16" t="s">
        <v>24</v>
      </c>
      <c r="C16" t="s">
        <v>8</v>
      </c>
      <c r="D16">
        <v>45</v>
      </c>
      <c r="E16">
        <v>2.2000000000000002</v>
      </c>
      <c r="F16">
        <v>85</v>
      </c>
      <c r="G16">
        <v>55</v>
      </c>
      <c r="H16" s="2">
        <f>VLOOKUP(C16,Measures_table!A:E,2,FALSE)</f>
        <v>712</v>
      </c>
      <c r="I16" s="1">
        <f>VLOOKUP(C16,Measures_table!A:E,3,FALSE)</f>
        <v>3.16</v>
      </c>
      <c r="J16" s="1">
        <f>VLOOKUP(C16,Measures_table!A:E,4,FALSE)</f>
        <v>420</v>
      </c>
      <c r="K16" s="1">
        <f>VLOOKUP(C16,Measures_table!A:E,5,FALSE)</f>
        <v>93.8</v>
      </c>
      <c r="L16" s="1" t="b">
        <f t="shared" si="0"/>
        <v>0</v>
      </c>
    </row>
    <row r="17" spans="1:12" x14ac:dyDescent="0.3">
      <c r="A17">
        <v>16</v>
      </c>
      <c r="B17" t="s">
        <v>25</v>
      </c>
      <c r="C17" t="s">
        <v>8</v>
      </c>
      <c r="D17">
        <v>599</v>
      </c>
      <c r="E17">
        <v>4</v>
      </c>
      <c r="F17">
        <v>40</v>
      </c>
      <c r="G17">
        <v>600</v>
      </c>
      <c r="H17" s="2">
        <f>VLOOKUP(C17,Measures_table!A:E,2,FALSE)</f>
        <v>712</v>
      </c>
      <c r="I17" s="1">
        <f>VLOOKUP(C17,Measures_table!A:E,3,FALSE)</f>
        <v>3.16</v>
      </c>
      <c r="J17" s="1">
        <f>VLOOKUP(C17,Measures_table!A:E,4,FALSE)</f>
        <v>420</v>
      </c>
      <c r="K17" s="1">
        <f>VLOOKUP(C17,Measures_table!A:E,5,FALSE)</f>
        <v>93.8</v>
      </c>
      <c r="L17" s="1" t="b">
        <f t="shared" si="0"/>
        <v>0</v>
      </c>
    </row>
    <row r="18" spans="1:12" x14ac:dyDescent="0.3">
      <c r="A18">
        <v>17</v>
      </c>
      <c r="B18" t="s">
        <v>26</v>
      </c>
      <c r="C18" t="s">
        <v>8</v>
      </c>
      <c r="D18">
        <v>999</v>
      </c>
      <c r="E18">
        <v>4.0999999999999996</v>
      </c>
      <c r="F18">
        <v>55</v>
      </c>
      <c r="G18">
        <v>750</v>
      </c>
      <c r="H18" s="2">
        <f>VLOOKUP(C18,Measures_table!A:E,2,FALSE)</f>
        <v>712</v>
      </c>
      <c r="I18" s="1">
        <f>VLOOKUP(C18,Measures_table!A:E,3,FALSE)</f>
        <v>3.16</v>
      </c>
      <c r="J18" s="1">
        <f>VLOOKUP(C18,Measures_table!A:E,4,FALSE)</f>
        <v>420</v>
      </c>
      <c r="K18" s="1">
        <f>VLOOKUP(C18,Measures_table!A:E,5,FALSE)</f>
        <v>93.8</v>
      </c>
      <c r="L18" s="1" t="b">
        <f t="shared" si="0"/>
        <v>0</v>
      </c>
    </row>
    <row r="19" spans="1:12" x14ac:dyDescent="0.3">
      <c r="A19">
        <v>18</v>
      </c>
      <c r="B19" t="s">
        <v>27</v>
      </c>
      <c r="C19" t="s">
        <v>8</v>
      </c>
      <c r="D19">
        <v>99</v>
      </c>
      <c r="E19">
        <v>4.5999999999999996</v>
      </c>
      <c r="F19">
        <v>18</v>
      </c>
      <c r="G19">
        <v>1100</v>
      </c>
      <c r="H19" s="2">
        <f>VLOOKUP(C19,Measures_table!A:E,2,FALSE)</f>
        <v>712</v>
      </c>
      <c r="I19" s="1">
        <f>VLOOKUP(C19,Measures_table!A:E,3,FALSE)</f>
        <v>3.16</v>
      </c>
      <c r="J19" s="1">
        <f>VLOOKUP(C19,Measures_table!A:E,4,FALSE)</f>
        <v>420</v>
      </c>
      <c r="K19" s="1">
        <f>VLOOKUP(C19,Measures_table!A:E,5,FALSE)</f>
        <v>93.8</v>
      </c>
      <c r="L19" s="1" t="b">
        <f t="shared" si="0"/>
        <v>0</v>
      </c>
    </row>
    <row r="20" spans="1:12" x14ac:dyDescent="0.3">
      <c r="A20">
        <v>19</v>
      </c>
      <c r="B20" t="s">
        <v>28</v>
      </c>
      <c r="C20" t="s">
        <v>8</v>
      </c>
      <c r="D20">
        <v>299</v>
      </c>
      <c r="E20">
        <v>4.2</v>
      </c>
      <c r="F20">
        <v>32</v>
      </c>
      <c r="G20">
        <v>800</v>
      </c>
      <c r="H20" s="2">
        <f>VLOOKUP(C20,Measures_table!A:E,2,FALSE)</f>
        <v>712</v>
      </c>
      <c r="I20" s="1">
        <f>VLOOKUP(C20,Measures_table!A:E,3,FALSE)</f>
        <v>3.16</v>
      </c>
      <c r="J20" s="1">
        <f>VLOOKUP(C20,Measures_table!A:E,4,FALSE)</f>
        <v>420</v>
      </c>
      <c r="K20" s="1">
        <f>VLOOKUP(C20,Measures_table!A:E,5,FALSE)</f>
        <v>93.8</v>
      </c>
      <c r="L20" s="1" t="b">
        <f t="shared" si="0"/>
        <v>0</v>
      </c>
    </row>
    <row r="21" spans="1:12" x14ac:dyDescent="0.3">
      <c r="A21">
        <v>20</v>
      </c>
      <c r="B21" t="s">
        <v>29</v>
      </c>
      <c r="C21" t="s">
        <v>14</v>
      </c>
      <c r="D21">
        <v>200</v>
      </c>
      <c r="E21">
        <v>4.5</v>
      </c>
      <c r="F21">
        <v>30</v>
      </c>
      <c r="G21">
        <v>900</v>
      </c>
      <c r="H21" s="2">
        <f>VLOOKUP(C21,Measures_table!A:E,2,FALSE)</f>
        <v>2792</v>
      </c>
      <c r="I21" s="1">
        <f>VLOOKUP(C21,Measures_table!A:E,3,FALSE)</f>
        <v>3.55</v>
      </c>
      <c r="J21" s="1">
        <f>VLOOKUP(C21,Measures_table!A:E,4,FALSE)</f>
        <v>610</v>
      </c>
      <c r="K21" s="1">
        <f>VLOOKUP(C21,Measures_table!A:E,5,FALSE)</f>
        <v>88</v>
      </c>
      <c r="L21" s="1" t="b">
        <f t="shared" si="0"/>
        <v>0</v>
      </c>
    </row>
    <row r="22" spans="1:12" hidden="1" x14ac:dyDescent="0.3">
      <c r="B22" t="s">
        <v>30</v>
      </c>
      <c r="C22" t="s">
        <v>30</v>
      </c>
      <c r="H22" t="e">
        <f>VLOOKUP(C22,#REF!,2,FALSE)</f>
        <v>#REF!</v>
      </c>
      <c r="I22" t="e">
        <f>VLOOKUP(C22,#REF!,3,FALSE)</f>
        <v>#REF!</v>
      </c>
      <c r="J22" t="e">
        <f>VLOOKUP(C22,#REF!,4,FALSE)</f>
        <v>#REF!</v>
      </c>
      <c r="K22" t="e">
        <f>VLOOKUP(C22,#REF!,5,FALSE)</f>
        <v>#REF!</v>
      </c>
      <c r="L22" t="e">
        <f t="shared" si="0"/>
        <v>#REF!</v>
      </c>
    </row>
    <row r="23" spans="1:12" hidden="1" x14ac:dyDescent="0.3">
      <c r="B23" t="s">
        <v>30</v>
      </c>
      <c r="C23" t="s">
        <v>30</v>
      </c>
      <c r="H23" t="e">
        <f>VLOOKUP(C23,#REF!,2,FALSE)</f>
        <v>#REF!</v>
      </c>
      <c r="I23" t="e">
        <f>VLOOKUP(C23,#REF!,3,FALSE)</f>
        <v>#REF!</v>
      </c>
      <c r="J23" t="e">
        <f>VLOOKUP(C23,#REF!,4,FALSE)</f>
        <v>#REF!</v>
      </c>
      <c r="K23" t="e">
        <f>VLOOKUP(C23,#REF!,5,FALSE)</f>
        <v>#REF!</v>
      </c>
      <c r="L23" t="e">
        <f t="shared" si="0"/>
        <v>#REF!</v>
      </c>
    </row>
    <row r="24" spans="1:12" hidden="1" x14ac:dyDescent="0.3">
      <c r="B24" t="s">
        <v>30</v>
      </c>
      <c r="C24" t="s">
        <v>30</v>
      </c>
      <c r="H24" t="e">
        <f>VLOOKUP(C24,#REF!,2,FALSE)</f>
        <v>#REF!</v>
      </c>
      <c r="I24" t="e">
        <f>VLOOKUP(C24,#REF!,3,FALSE)</f>
        <v>#REF!</v>
      </c>
      <c r="J24" t="e">
        <f>VLOOKUP(C24,#REF!,4,FALSE)</f>
        <v>#REF!</v>
      </c>
      <c r="K24" t="e">
        <f>VLOOKUP(C24,#REF!,5,FALSE)</f>
        <v>#REF!</v>
      </c>
      <c r="L24" t="e">
        <f t="shared" si="0"/>
        <v>#REF!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65A6-BE24-48E4-85AF-CFA2069BC03A}">
  <dimension ref="A1:E4"/>
  <sheetViews>
    <sheetView workbookViewId="0"/>
  </sheetViews>
  <sheetFormatPr defaultRowHeight="14.4" x14ac:dyDescent="0.3"/>
  <cols>
    <col min="1" max="1" width="10.77734375" bestFit="1" customWidth="1"/>
    <col min="2" max="2" width="11.5546875" bestFit="1" customWidth="1"/>
    <col min="3" max="3" width="12.77734375" bestFit="1" customWidth="1"/>
    <col min="4" max="4" width="14.88671875" bestFit="1" customWidth="1"/>
    <col min="5" max="5" width="12.77734375" bestFit="1" customWidth="1"/>
  </cols>
  <sheetData>
    <row r="1" spans="1:5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 t="s">
        <v>20</v>
      </c>
      <c r="B2">
        <v>120</v>
      </c>
      <c r="C2">
        <v>2.4</v>
      </c>
      <c r="D2">
        <v>110</v>
      </c>
      <c r="E2">
        <v>82</v>
      </c>
    </row>
    <row r="3" spans="1:5" x14ac:dyDescent="0.3">
      <c r="A3" t="s">
        <v>8</v>
      </c>
      <c r="B3">
        <v>712</v>
      </c>
      <c r="C3">
        <v>3.16</v>
      </c>
      <c r="D3">
        <v>420</v>
      </c>
      <c r="E3">
        <v>93.8</v>
      </c>
    </row>
    <row r="4" spans="1:5" x14ac:dyDescent="0.3">
      <c r="A4" t="s">
        <v>14</v>
      </c>
      <c r="B4">
        <v>2792</v>
      </c>
      <c r="C4">
        <v>3.55</v>
      </c>
      <c r="D4">
        <v>610</v>
      </c>
      <c r="E4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B71-5A42-499F-A64F-D53E03D1948F}">
  <dimension ref="A1:J7"/>
  <sheetViews>
    <sheetView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2.109375" customWidth="1"/>
    <col min="2" max="2" width="15.33203125" customWidth="1"/>
    <col min="3" max="3" width="10.21875" customWidth="1"/>
    <col min="4" max="4" width="11.109375" style="9" bestFit="1" customWidth="1"/>
    <col min="6" max="6" width="11.21875" customWidth="1"/>
    <col min="7" max="7" width="8.88671875" style="13"/>
    <col min="8" max="8" width="16.44140625" customWidth="1"/>
    <col min="9" max="9" width="9" customWidth="1"/>
    <col min="10" max="10" width="13.44140625" customWidth="1"/>
  </cols>
  <sheetData>
    <row r="1" spans="1:10" x14ac:dyDescent="0.3">
      <c r="A1" s="20" t="s">
        <v>45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3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3">
      <c r="A4" s="17" t="s">
        <v>0</v>
      </c>
      <c r="B4" s="17" t="s">
        <v>1</v>
      </c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17" t="s">
        <v>38</v>
      </c>
      <c r="I4" s="17" t="s">
        <v>39</v>
      </c>
      <c r="J4" s="17" t="s">
        <v>37</v>
      </c>
    </row>
    <row r="5" spans="1:10" x14ac:dyDescent="0.3">
      <c r="A5" s="5">
        <v>1</v>
      </c>
      <c r="B5" s="5" t="s">
        <v>7</v>
      </c>
      <c r="C5" s="5" t="s">
        <v>8</v>
      </c>
      <c r="D5" s="14">
        <v>1499</v>
      </c>
      <c r="E5" s="5">
        <v>2.1</v>
      </c>
      <c r="F5" s="5">
        <v>95</v>
      </c>
      <c r="G5" s="10">
        <v>120</v>
      </c>
      <c r="H5" s="5" t="s">
        <v>40</v>
      </c>
      <c r="I5" s="5" t="s">
        <v>43</v>
      </c>
      <c r="J5" s="3" t="b">
        <v>1</v>
      </c>
    </row>
    <row r="6" spans="1:10" x14ac:dyDescent="0.3">
      <c r="A6" s="6">
        <v>3</v>
      </c>
      <c r="B6" s="6" t="s">
        <v>10</v>
      </c>
      <c r="C6" s="6" t="s">
        <v>8</v>
      </c>
      <c r="D6" s="15">
        <v>2999</v>
      </c>
      <c r="E6" s="6">
        <v>1.8</v>
      </c>
      <c r="F6" s="6">
        <v>98</v>
      </c>
      <c r="G6" s="11">
        <v>85</v>
      </c>
      <c r="H6" s="6" t="s">
        <v>42</v>
      </c>
      <c r="I6" s="6" t="s">
        <v>44</v>
      </c>
      <c r="J6" s="4" t="b">
        <v>1</v>
      </c>
    </row>
    <row r="7" spans="1:10" x14ac:dyDescent="0.3">
      <c r="A7" s="7">
        <v>6</v>
      </c>
      <c r="B7" s="7" t="s">
        <v>13</v>
      </c>
      <c r="C7" s="7" t="s">
        <v>14</v>
      </c>
      <c r="D7" s="16">
        <v>12500</v>
      </c>
      <c r="E7" s="7">
        <v>1.7</v>
      </c>
      <c r="F7" s="7">
        <v>97</v>
      </c>
      <c r="G7" s="12">
        <v>35</v>
      </c>
      <c r="H7" s="7" t="s">
        <v>41</v>
      </c>
      <c r="I7" s="7" t="s">
        <v>43</v>
      </c>
      <c r="J7" s="8" t="b">
        <v>1</v>
      </c>
    </row>
  </sheetData>
  <mergeCells count="1">
    <mergeCell ref="A1:J3"/>
  </mergeCells>
  <conditionalFormatting sqref="I5">
    <cfRule type="expression" dxfId="2" priority="18">
      <formula>$I5="HIGH"</formula>
    </cfRule>
    <cfRule type="colorScale" priority="19">
      <colorScale>
        <cfvo type="min"/>
        <cfvo type="max"/>
        <color rgb="FFFFC000"/>
        <color rgb="FFC00000"/>
      </colorScale>
    </cfRule>
  </conditionalFormatting>
  <conditionalFormatting sqref="I5:I7">
    <cfRule type="containsText" priority="5" operator="containsText" text="I2">
      <formula>NOT(ISERROR(SEARCH("I2",I5)))</formula>
    </cfRule>
  </conditionalFormatting>
  <conditionalFormatting sqref="I6">
    <cfRule type="expression" dxfId="1" priority="2">
      <formula>$I6="MEDIUM"</formula>
    </cfRule>
  </conditionalFormatting>
  <conditionalFormatting sqref="I7">
    <cfRule type="expression" dxfId="0" priority="1">
      <formula>$I7="HIGH"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EDCF4-DE7C-46E5-969B-AB2CD84410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ecommerce_project</vt:lpstr>
      <vt:lpstr>Measures_table</vt:lpstr>
      <vt:lpstr>Final_Results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jenita mechalin</dc:creator>
  <cp:lastModifiedBy>jenita mechalin</cp:lastModifiedBy>
  <dcterms:created xsi:type="dcterms:W3CDTF">2026-02-04T12:38:29Z</dcterms:created>
  <dcterms:modified xsi:type="dcterms:W3CDTF">2026-02-19T07:27:36Z</dcterms:modified>
</cp:coreProperties>
</file>